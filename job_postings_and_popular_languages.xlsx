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erso\Npower Canada\Projects\Project-for-Data-Science\"/>
    </mc:Choice>
  </mc:AlternateContent>
  <xr:revisionPtr revIDLastSave="0" documentId="13_ncr:1_{E21E8AEA-DC43-43A6-B699-D28BD1D8165D}" xr6:coauthVersionLast="47" xr6:coauthVersionMax="47" xr10:uidLastSave="{00000000-0000-0000-0000-000000000000}"/>
  <bookViews>
    <workbookView xWindow="-108" yWindow="-108" windowWidth="23256" windowHeight="12456" activeTab="2" xr2:uid="{14333703-436C-4925-ABF1-BF08229CFA32}"/>
  </bookViews>
  <sheets>
    <sheet name="Salary-Data" sheetId="4" r:id="rId1"/>
    <sheet name="Popularity-Data" sheetId="3" r:id="rId2"/>
    <sheet name="PopularityVsSalary" sheetId="1" r:id="rId3"/>
  </sheets>
  <externalReferences>
    <externalReference r:id="rId4"/>
  </externalReferences>
  <definedNames>
    <definedName name="_xlnm._FilterDatabase" localSheetId="2" hidden="1">PopularityVsSalary!$A$18:$C$23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E24" i="1" s="1"/>
  <c r="B24" i="1"/>
  <c r="D24" i="1" s="1"/>
  <c r="E22" i="1"/>
  <c r="D22" i="1"/>
  <c r="E21" i="1"/>
  <c r="D21" i="1"/>
  <c r="E20" i="1"/>
  <c r="D20" i="1"/>
  <c r="E19" i="1"/>
  <c r="D19" i="1"/>
  <c r="D23" i="1" l="1"/>
  <c r="E23" i="1"/>
</calcChain>
</file>

<file path=xl/sharedStrings.xml><?xml version="1.0" encoding="utf-8"?>
<sst xmlns="http://schemas.openxmlformats.org/spreadsheetml/2006/main" count="46" uniqueCount="25">
  <si>
    <t>Language</t>
  </si>
  <si>
    <t>Number of times the language is requested</t>
  </si>
  <si>
    <t>Average Annual Salary ($)</t>
  </si>
  <si>
    <t>Number of times the language is requested per  percentage</t>
  </si>
  <si>
    <t>Average Annual Salary ($) per percentage</t>
  </si>
  <si>
    <t>C#</t>
  </si>
  <si>
    <t>C++</t>
  </si>
  <si>
    <t>Java</t>
  </si>
  <si>
    <t>JavaScript</t>
  </si>
  <si>
    <t>Python</t>
  </si>
  <si>
    <t>Total</t>
  </si>
  <si>
    <t>We only considered only languages that appeared in both job_postings.xlsx and popular-languages.xlsx. We used relative frequencies to enable comparison.</t>
  </si>
  <si>
    <t>MySQL Server</t>
  </si>
  <si>
    <t>PostgreSQL</t>
  </si>
  <si>
    <t>Scala</t>
  </si>
  <si>
    <t>MongoDB</t>
  </si>
  <si>
    <t>SQL Server</t>
  </si>
  <si>
    <t>Oracle</t>
  </si>
  <si>
    <t>C</t>
  </si>
  <si>
    <t>PHP</t>
  </si>
  <si>
    <t>SQL</t>
  </si>
  <si>
    <t>R</t>
  </si>
  <si>
    <t>Go</t>
  </si>
  <si>
    <t>Javascript</t>
  </si>
  <si>
    <t>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</si>
</sst>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name val="Calibri"/>
      <family val="2"/>
    </font>
    <font>
      <sz val="12"/>
      <color theme="1"/>
      <name val="Aptos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>
                <a:solidFill>
                  <a:schemeClr val="tx1"/>
                </a:solidFill>
                <a:effectLst/>
              </a:rPr>
              <a:t>Comparison of language popularity versus average salaries for those languages</a:t>
            </a:r>
            <a:endParaRPr lang="fr-CA" sz="1400" b="1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>
        <c:manualLayout>
          <c:layoutTarget val="inner"/>
          <c:xMode val="edge"/>
          <c:yMode val="edge"/>
          <c:x val="4.0221868333873999E-2"/>
          <c:y val="9.7331947331947347E-2"/>
          <c:w val="0.93480934265239313"/>
          <c:h val="0.71183857994881616"/>
        </c:manualLayout>
      </c:layout>
      <c:lineChart>
        <c:grouping val="stacked"/>
        <c:varyColors val="0"/>
        <c:ser>
          <c:idx val="0"/>
          <c:order val="0"/>
          <c:tx>
            <c:strRef>
              <c:f>PopularityVsSalary!$H$18</c:f>
              <c:strCache>
                <c:ptCount val="1"/>
                <c:pt idx="0">
                  <c:v>Number of times the language is requested per  percentage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PopularityVsSalary!$G$19:$G$23</c:f>
              <c:strCache>
                <c:ptCount val="5"/>
                <c:pt idx="0">
                  <c:v>C#</c:v>
                </c:pt>
                <c:pt idx="1">
                  <c:v>C++</c:v>
                </c:pt>
                <c:pt idx="2">
                  <c:v>Java</c:v>
                </c:pt>
                <c:pt idx="3">
                  <c:v>JavaScript</c:v>
                </c:pt>
                <c:pt idx="4">
                  <c:v>Python</c:v>
                </c:pt>
              </c:strCache>
            </c:strRef>
          </c:cat>
          <c:val>
            <c:numRef>
              <c:f>PopularityVsSalary!$H$19:$H$23</c:f>
              <c:numCache>
                <c:formatCode>0.00</c:formatCode>
                <c:ptCount val="5"/>
                <c:pt idx="0">
                  <c:v>6.674279913716534E-2</c:v>
                </c:pt>
                <c:pt idx="1">
                  <c:v>6.4205050120543075E-2</c:v>
                </c:pt>
                <c:pt idx="2">
                  <c:v>0.43497018144905469</c:v>
                </c:pt>
                <c:pt idx="3">
                  <c:v>0.28524298946834159</c:v>
                </c:pt>
                <c:pt idx="4">
                  <c:v>0.14883897982489533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6-408A-833D-B7CCB1DAD19A}"/>
            </c:ext>
          </c:extLst>
        </c:ser>
        <c:ser>
          <c:idx val="1"/>
          <c:order val="1"/>
          <c:tx>
            <c:strRef>
              <c:f>PopularityVsSalary!$I$18</c:f>
              <c:strCache>
                <c:ptCount val="1"/>
                <c:pt idx="0">
                  <c:v>Average Annual Salary ($) per 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PopularityVsSalary!$G$19:$G$23</c:f>
              <c:strCache>
                <c:ptCount val="5"/>
                <c:pt idx="0">
                  <c:v>C#</c:v>
                </c:pt>
                <c:pt idx="1">
                  <c:v>C++</c:v>
                </c:pt>
                <c:pt idx="2">
                  <c:v>Java</c:v>
                </c:pt>
                <c:pt idx="3">
                  <c:v>JavaScript</c:v>
                </c:pt>
                <c:pt idx="4">
                  <c:v>Python</c:v>
                </c:pt>
              </c:strCache>
            </c:strRef>
          </c:cat>
          <c:val>
            <c:numRef>
              <c:f>PopularityVsSalary!$I$19:$I$23</c:f>
              <c:numCache>
                <c:formatCode>0.00</c:formatCode>
                <c:ptCount val="5"/>
                <c:pt idx="0">
                  <c:v>0.16773415405090666</c:v>
                </c:pt>
                <c:pt idx="1">
                  <c:v>0.21525876801621269</c:v>
                </c:pt>
                <c:pt idx="2">
                  <c:v>0.1909624022625187</c:v>
                </c:pt>
                <c:pt idx="3">
                  <c:v>0.20980664236778029</c:v>
                </c:pt>
                <c:pt idx="4">
                  <c:v>0.21623803330258162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E6-408A-833D-B7CCB1DAD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6766176"/>
        <c:axId val="1136767616"/>
      </c:lineChart>
      <c:catAx>
        <c:axId val="113676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6767616"/>
        <c:crosses val="autoZero"/>
        <c:auto val="1"/>
        <c:lblAlgn val="ctr"/>
        <c:lblOffset val="100"/>
        <c:noMultiLvlLbl val="0"/>
      </c:catAx>
      <c:valAx>
        <c:axId val="11367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676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879965004374455"/>
          <c:y val="0.89409667541557303"/>
          <c:w val="0.45684492563429568"/>
          <c:h val="8.7384806065908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0</xdr:row>
      <xdr:rowOff>30480</xdr:rowOff>
    </xdr:from>
    <xdr:to>
      <xdr:col>11</xdr:col>
      <xdr:colOff>594360</xdr:colOff>
      <xdr:row>16</xdr:row>
      <xdr:rowOff>167640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2A080D8-E487-4815-AA3A-2C4097B76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Languages_Comparison_with_Chart.xlsx" TargetMode="External"/><Relationship Id="rId1" Type="http://schemas.openxmlformats.org/officeDocument/2006/relationships/externalLinkPath" Target="file:///C:\Users\DELL\Downloads\Languages_Comparison_with_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pularity"/>
      <sheetName val="Salary"/>
    </sheetNames>
    <sheetDataSet>
      <sheetData sheetId="0">
        <row r="18">
          <cell r="H18" t="str">
            <v>Number of times the language is requested per  percentage</v>
          </cell>
          <cell r="I18" t="str">
            <v>Average Annual Salary ($) per percentage</v>
          </cell>
        </row>
        <row r="19">
          <cell r="G19" t="str">
            <v>C#</v>
          </cell>
          <cell r="H19">
            <v>6.674279913716534E-2</v>
          </cell>
          <cell r="I19">
            <v>0.16773415405090666</v>
          </cell>
        </row>
        <row r="20">
          <cell r="G20" t="str">
            <v>C++</v>
          </cell>
          <cell r="H20">
            <v>6.4205050120543075E-2</v>
          </cell>
          <cell r="I20">
            <v>0.21525876801621269</v>
          </cell>
        </row>
        <row r="21">
          <cell r="G21" t="str">
            <v>Java</v>
          </cell>
          <cell r="H21">
            <v>0.43497018144905469</v>
          </cell>
          <cell r="I21">
            <v>0.1909624022625187</v>
          </cell>
        </row>
        <row r="22">
          <cell r="G22" t="str">
            <v>JavaScript</v>
          </cell>
          <cell r="H22">
            <v>0.28524298946834159</v>
          </cell>
          <cell r="I22">
            <v>0.20980664236778029</v>
          </cell>
        </row>
        <row r="23">
          <cell r="G23" t="str">
            <v>Python</v>
          </cell>
          <cell r="H23">
            <v>0.14883897982489533</v>
          </cell>
          <cell r="I23">
            <v>0.21623803330258162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16B4-BD64-4430-9782-67E512755374}">
  <dimension ref="A1:B11"/>
  <sheetViews>
    <sheetView workbookViewId="0">
      <selection activeCell="E16" sqref="E16"/>
    </sheetView>
  </sheetViews>
  <sheetFormatPr baseColWidth="10" defaultColWidth="8.88671875" defaultRowHeight="14.4" x14ac:dyDescent="0.3"/>
  <sheetData>
    <row r="1" spans="1:2" x14ac:dyDescent="0.3">
      <c r="A1" s="9" t="s">
        <v>0</v>
      </c>
      <c r="B1" s="9" t="s">
        <v>2</v>
      </c>
    </row>
    <row r="2" spans="1:2" x14ac:dyDescent="0.3">
      <c r="A2" t="s">
        <v>24</v>
      </c>
      <c r="B2">
        <v>130801</v>
      </c>
    </row>
    <row r="3" spans="1:2" x14ac:dyDescent="0.3">
      <c r="A3" t="s">
        <v>9</v>
      </c>
      <c r="B3">
        <v>114383</v>
      </c>
    </row>
    <row r="4" spans="1:2" x14ac:dyDescent="0.3">
      <c r="A4" t="s">
        <v>6</v>
      </c>
      <c r="B4">
        <v>113865</v>
      </c>
    </row>
    <row r="5" spans="1:2" x14ac:dyDescent="0.3">
      <c r="A5" t="s">
        <v>23</v>
      </c>
      <c r="B5">
        <v>110981</v>
      </c>
    </row>
    <row r="6" spans="1:2" x14ac:dyDescent="0.3">
      <c r="A6" t="s">
        <v>7</v>
      </c>
      <c r="B6">
        <v>101013</v>
      </c>
    </row>
    <row r="7" spans="1:2" x14ac:dyDescent="0.3">
      <c r="A7" t="s">
        <v>22</v>
      </c>
      <c r="B7">
        <v>94082</v>
      </c>
    </row>
    <row r="8" spans="1:2" x14ac:dyDescent="0.3">
      <c r="A8" t="s">
        <v>21</v>
      </c>
      <c r="B8">
        <v>92037</v>
      </c>
    </row>
    <row r="9" spans="1:2" x14ac:dyDescent="0.3">
      <c r="A9" t="s">
        <v>5</v>
      </c>
      <c r="B9">
        <v>88726</v>
      </c>
    </row>
    <row r="10" spans="1:2" x14ac:dyDescent="0.3">
      <c r="A10" t="s">
        <v>20</v>
      </c>
      <c r="B10">
        <v>84793</v>
      </c>
    </row>
    <row r="11" spans="1:2" x14ac:dyDescent="0.3">
      <c r="A11" t="s">
        <v>19</v>
      </c>
      <c r="B11">
        <v>84727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C180-F517-43B0-B706-B711BF190897}">
  <dimension ref="A1:B13"/>
  <sheetViews>
    <sheetView workbookViewId="0"/>
  </sheetViews>
  <sheetFormatPr baseColWidth="10" defaultColWidth="8.88671875" defaultRowHeight="14.4" x14ac:dyDescent="0.3"/>
  <sheetData>
    <row r="1" spans="1:2" x14ac:dyDescent="0.3">
      <c r="A1" s="9" t="s">
        <v>0</v>
      </c>
      <c r="B1" s="9" t="s">
        <v>1</v>
      </c>
    </row>
    <row r="2" spans="1:2" x14ac:dyDescent="0.3">
      <c r="A2" t="s">
        <v>18</v>
      </c>
      <c r="B2">
        <v>25114</v>
      </c>
    </row>
    <row r="3" spans="1:2" x14ac:dyDescent="0.3">
      <c r="A3" t="s">
        <v>7</v>
      </c>
      <c r="B3">
        <v>3428</v>
      </c>
    </row>
    <row r="4" spans="1:2" x14ac:dyDescent="0.3">
      <c r="A4" t="s">
        <v>8</v>
      </c>
      <c r="B4">
        <v>2248</v>
      </c>
    </row>
    <row r="5" spans="1:2" x14ac:dyDescent="0.3">
      <c r="A5" t="s">
        <v>9</v>
      </c>
      <c r="B5">
        <v>1173</v>
      </c>
    </row>
    <row r="6" spans="1:2" x14ac:dyDescent="0.3">
      <c r="A6" t="s">
        <v>17</v>
      </c>
      <c r="B6">
        <v>899</v>
      </c>
    </row>
    <row r="7" spans="1:2" x14ac:dyDescent="0.3">
      <c r="A7" t="s">
        <v>5</v>
      </c>
      <c r="B7">
        <v>526</v>
      </c>
    </row>
    <row r="8" spans="1:2" x14ac:dyDescent="0.3">
      <c r="A8" t="s">
        <v>6</v>
      </c>
      <c r="B8">
        <v>506</v>
      </c>
    </row>
    <row r="9" spans="1:2" x14ac:dyDescent="0.3">
      <c r="A9" t="s">
        <v>16</v>
      </c>
      <c r="B9">
        <v>423</v>
      </c>
    </row>
    <row r="10" spans="1:2" x14ac:dyDescent="0.3">
      <c r="A10" t="s">
        <v>15</v>
      </c>
      <c r="B10">
        <v>208</v>
      </c>
    </row>
    <row r="11" spans="1:2" x14ac:dyDescent="0.3">
      <c r="A11" t="s">
        <v>14</v>
      </c>
      <c r="B11">
        <v>138</v>
      </c>
    </row>
    <row r="12" spans="1:2" x14ac:dyDescent="0.3">
      <c r="A12" t="s">
        <v>13</v>
      </c>
      <c r="B12">
        <v>86</v>
      </c>
    </row>
    <row r="13" spans="1:2" x14ac:dyDescent="0.3">
      <c r="A13" t="s">
        <v>12</v>
      </c>
      <c r="B1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348E-FF98-47DF-9585-D9A84D2C67F0}">
  <dimension ref="A1:L25"/>
  <sheetViews>
    <sheetView tabSelected="1" workbookViewId="0">
      <selection activeCell="N10" sqref="N10"/>
    </sheetView>
  </sheetViews>
  <sheetFormatPr baseColWidth="10" defaultColWidth="8.88671875" defaultRowHeight="14.4" x14ac:dyDescent="0.3"/>
  <cols>
    <col min="3" max="3" width="13" bestFit="1" customWidth="1"/>
    <col min="13" max="13" width="20.33203125" customWidth="1"/>
    <col min="14" max="14" width="34.21875" customWidth="1"/>
  </cols>
  <sheetData>
    <row r="1" spans="4:7" s="1" customFormat="1" ht="33" customHeight="1" x14ac:dyDescent="0.15">
      <c r="F1" s="2"/>
      <c r="G1" s="2"/>
    </row>
    <row r="9" spans="4:7" s="1" customFormat="1" ht="33" customHeight="1" x14ac:dyDescent="0.15">
      <c r="D9" s="3"/>
      <c r="E9" s="3"/>
      <c r="F9" s="2"/>
      <c r="G9" s="2"/>
    </row>
    <row r="18" spans="1:12" ht="46.8" x14ac:dyDescent="0.3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  <c r="G18" s="3" t="s">
        <v>0</v>
      </c>
      <c r="H18" s="3" t="s">
        <v>3</v>
      </c>
      <c r="I18" s="3" t="s">
        <v>4</v>
      </c>
    </row>
    <row r="19" spans="1:12" x14ac:dyDescent="0.3">
      <c r="A19" t="s">
        <v>5</v>
      </c>
      <c r="B19">
        <v>526</v>
      </c>
      <c r="C19" s="4">
        <v>88726</v>
      </c>
      <c r="D19" s="5">
        <f t="shared" ref="D19:D24" si="0">$B19/$B$24</f>
        <v>6.674279913716534E-2</v>
      </c>
      <c r="E19" s="6">
        <f t="shared" ref="E19:E24" si="1">$C19/$C$24</f>
        <v>0.16773415405090666</v>
      </c>
      <c r="G19" t="s">
        <v>5</v>
      </c>
      <c r="H19" s="5">
        <v>6.674279913716534E-2</v>
      </c>
      <c r="I19" s="5">
        <v>0.16773415405090666</v>
      </c>
    </row>
    <row r="20" spans="1:12" ht="12" customHeight="1" x14ac:dyDescent="0.3">
      <c r="A20" t="s">
        <v>6</v>
      </c>
      <c r="B20">
        <v>506</v>
      </c>
      <c r="C20" s="4">
        <v>113865</v>
      </c>
      <c r="D20" s="5">
        <f t="shared" si="0"/>
        <v>6.4205050120543075E-2</v>
      </c>
      <c r="E20" s="6">
        <f t="shared" si="1"/>
        <v>0.21525876801621269</v>
      </c>
      <c r="G20" t="s">
        <v>6</v>
      </c>
      <c r="H20" s="5">
        <v>6.4205050120543075E-2</v>
      </c>
      <c r="I20" s="5">
        <v>0.21525876801621269</v>
      </c>
    </row>
    <row r="21" spans="1:12" x14ac:dyDescent="0.3">
      <c r="A21" t="s">
        <v>7</v>
      </c>
      <c r="B21">
        <v>3428</v>
      </c>
      <c r="C21" s="4">
        <v>101013</v>
      </c>
      <c r="D21" s="5">
        <f t="shared" si="0"/>
        <v>0.43497018144905469</v>
      </c>
      <c r="E21" s="6">
        <f t="shared" si="1"/>
        <v>0.1909624022625187</v>
      </c>
      <c r="G21" t="s">
        <v>7</v>
      </c>
      <c r="H21" s="5">
        <v>0.43497018144905469</v>
      </c>
      <c r="I21" s="5">
        <v>0.1909624022625187</v>
      </c>
    </row>
    <row r="22" spans="1:12" ht="12.6" customHeight="1" x14ac:dyDescent="0.3">
      <c r="A22" t="s">
        <v>8</v>
      </c>
      <c r="B22">
        <v>2248</v>
      </c>
      <c r="C22" s="4">
        <v>110981</v>
      </c>
      <c r="D22" s="5">
        <f t="shared" si="0"/>
        <v>0.28524298946834159</v>
      </c>
      <c r="E22" s="6">
        <f t="shared" si="1"/>
        <v>0.20980664236778029</v>
      </c>
      <c r="G22" t="s">
        <v>8</v>
      </c>
      <c r="H22" s="5">
        <v>0.28524298946834159</v>
      </c>
      <c r="I22" s="5">
        <v>0.20980664236778029</v>
      </c>
    </row>
    <row r="23" spans="1:12" ht="11.4" customHeight="1" x14ac:dyDescent="0.3">
      <c r="A23" t="s">
        <v>9</v>
      </c>
      <c r="B23">
        <v>1173</v>
      </c>
      <c r="C23" s="4">
        <v>114383</v>
      </c>
      <c r="D23" s="5">
        <f t="shared" si="0"/>
        <v>0.14883897982489533</v>
      </c>
      <c r="E23" s="6">
        <f t="shared" si="1"/>
        <v>0.21623803330258162</v>
      </c>
      <c r="G23" t="s">
        <v>9</v>
      </c>
      <c r="H23" s="5">
        <v>0.14883897982489533</v>
      </c>
      <c r="I23" s="5">
        <v>0.21623803330258162</v>
      </c>
    </row>
    <row r="24" spans="1:12" ht="12" customHeight="1" x14ac:dyDescent="0.3">
      <c r="A24" t="s">
        <v>10</v>
      </c>
      <c r="B24">
        <f>SUM(B19:B23)</f>
        <v>7881</v>
      </c>
      <c r="C24">
        <f>SUM(C19:C23)</f>
        <v>528968</v>
      </c>
      <c r="D24" s="5">
        <f t="shared" si="0"/>
        <v>1</v>
      </c>
      <c r="E24" s="6">
        <f t="shared" si="1"/>
        <v>1</v>
      </c>
      <c r="H24" s="5">
        <v>1</v>
      </c>
      <c r="I24" s="5">
        <v>1</v>
      </c>
    </row>
    <row r="25" spans="1:12" ht="27" customHeight="1" x14ac:dyDescent="0.3">
      <c r="A25" s="7" t="s">
        <v>11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</sheetData>
  <mergeCells count="1">
    <mergeCell ref="A25:L25"/>
  </mergeCells>
  <pageMargins left="0.75" right="0.75" top="1" bottom="1" header="0.5" footer="0.5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B6CD662E42F941A79079E388BAED8D" ma:contentTypeVersion="10" ma:contentTypeDescription="Crée un document." ma:contentTypeScope="" ma:versionID="03318954a3f09e9fc73aca02e24fe3f1">
  <xsd:schema xmlns:xsd="http://www.w3.org/2001/XMLSchema" xmlns:xs="http://www.w3.org/2001/XMLSchema" xmlns:p="http://schemas.microsoft.com/office/2006/metadata/properties" xmlns:ns3="d09b266f-da12-4f9e-a86d-91fe85397056" xmlns:ns4="c628a9d1-1956-4fb1-b5e2-d2ad08b91b0a" targetNamespace="http://schemas.microsoft.com/office/2006/metadata/properties" ma:root="true" ma:fieldsID="d12e26e316b38ec917475b72f7b3ae8e" ns3:_="" ns4:_="">
    <xsd:import namespace="d09b266f-da12-4f9e-a86d-91fe85397056"/>
    <xsd:import namespace="c628a9d1-1956-4fb1-b5e2-d2ad08b91b0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b266f-da12-4f9e-a86d-91fe853970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28a9d1-1956-4fb1-b5e2-d2ad08b91b0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31B7B-6352-4DF8-AF94-9E6554FCD1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b266f-da12-4f9e-a86d-91fe85397056"/>
    <ds:schemaRef ds:uri="c628a9d1-1956-4fb1-b5e2-d2ad08b91b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BD32D1-C5D6-44A0-B6FB-E5058CAEC1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FF74A1-BEFC-4E03-8248-17DB810F72E0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d09b266f-da12-4f9e-a86d-91fe85397056"/>
    <ds:schemaRef ds:uri="http://www.w3.org/XML/1998/namespace"/>
    <ds:schemaRef ds:uri="c628a9d1-1956-4fb1-b5e2-d2ad08b91b0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Salary-Data</vt:lpstr>
      <vt:lpstr>Popularity-Data</vt:lpstr>
      <vt:lpstr>PopularityVsSalary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Ntang Pierre Marie</dc:creator>
  <cp:lastModifiedBy>Ntang Pierre Marie</cp:lastModifiedBy>
  <dcterms:created xsi:type="dcterms:W3CDTF">2025-11-12T16:37:22Z</dcterms:created>
  <dcterms:modified xsi:type="dcterms:W3CDTF">2025-11-12T16:49:50Z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0x01010022B6CD662E42F941A79079E388BAED8D</vt:lpwstr>
  </property>
</Properties>
</file>